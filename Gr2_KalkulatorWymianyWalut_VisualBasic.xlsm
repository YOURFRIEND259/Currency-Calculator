
<file path=[Content_Types].xml><?xml version="1.0" encoding="utf-8"?>
<Types xmlns="http://schemas.openxmlformats.org/package/2006/content-types">
  <Default Extension="bin" ContentType="application/vnd.ms-office.vbaProject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00000000-0000-0000-0000-000000000000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Qba\Downloads\"/>
    </mc:Choice>
  </mc:AlternateContent>
  <xr:revisionPtr revIDLastSave="0" documentId="13_ncr:1_{5AAC6ED0-E3D1-4AC2-81C2-90944F6D3B8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Kalkulator" sheetId="1" r:id="rId1"/>
    <sheet name="Dane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1">
      <go:sheetsCustomData xmlns:go="http://customooxmlschemas.google.com/" r:id="rId7" roundtripDataSignature="AMtx7mjB+gGZVKm9E5271Q99tLfWUzzPRw=="/>
    </ext>
  </extLst>
</workbook>
</file>

<file path=xl/calcChain.xml><?xml version="1.0" encoding="utf-8"?>
<calcChain xmlns="http://schemas.openxmlformats.org/spreadsheetml/2006/main">
  <c r="J32" i="2" l="1" a="1"/>
  <c r="J32" i="2" s="1"/>
  <c r="I32" i="2"/>
  <c r="J31" i="2" a="1"/>
  <c r="J31" i="2" s="1"/>
  <c r="L31" i="2" s="1"/>
  <c r="N31" i="2" s="1"/>
  <c r="I31" i="2"/>
  <c r="J30" i="2" a="1"/>
  <c r="J30" i="2" s="1"/>
  <c r="L30" i="2" s="1"/>
  <c r="N30" i="2" s="1"/>
  <c r="I30" i="2"/>
  <c r="J29" i="2" a="1"/>
  <c r="J29" i="2" s="1"/>
  <c r="L29" i="2" s="1"/>
  <c r="N29" i="2" s="1"/>
  <c r="I29" i="2"/>
  <c r="J28" i="2" a="1"/>
  <c r="J28" i="2" s="1"/>
  <c r="L28" i="2" s="1"/>
  <c r="N28" i="2" s="1"/>
  <c r="I28" i="2"/>
  <c r="J27" i="2" a="1"/>
  <c r="J27" i="2" s="1"/>
  <c r="L27" i="2" s="1"/>
  <c r="N27" i="2" s="1"/>
  <c r="I27" i="2"/>
  <c r="J26" i="2" a="1"/>
  <c r="J26" i="2" s="1"/>
  <c r="L26" i="2" s="1"/>
  <c r="N26" i="2" s="1"/>
  <c r="I26" i="2"/>
  <c r="J25" i="2" a="1"/>
  <c r="J25" i="2" s="1"/>
  <c r="L25" i="2" s="1"/>
  <c r="N25" i="2" s="1"/>
  <c r="I25" i="2"/>
  <c r="J24" i="2" a="1"/>
  <c r="J24" i="2" s="1"/>
  <c r="L24" i="2" s="1"/>
  <c r="N24" i="2" s="1"/>
  <c r="I24" i="2"/>
  <c r="J23" i="2" a="1"/>
  <c r="J23" i="2" s="1"/>
  <c r="L23" i="2" s="1"/>
  <c r="N23" i="2" s="1"/>
  <c r="I23" i="2"/>
  <c r="J22" i="2" a="1"/>
  <c r="J22" i="2" s="1"/>
  <c r="L22" i="2" s="1"/>
  <c r="N22" i="2" s="1"/>
  <c r="I22" i="2"/>
  <c r="J21" i="2" a="1"/>
  <c r="J21" i="2" s="1"/>
  <c r="L21" i="2" s="1"/>
  <c r="N21" i="2" s="1"/>
  <c r="I21" i="2"/>
  <c r="J20" i="2" a="1"/>
  <c r="J20" i="2"/>
  <c r="L20" i="2" s="1"/>
  <c r="N20" i="2" s="1"/>
  <c r="I20" i="2"/>
  <c r="J19" i="2" a="1"/>
  <c r="J19" i="2" s="1"/>
  <c r="L19" i="2" s="1"/>
  <c r="N19" i="2" s="1"/>
  <c r="I19" i="2"/>
  <c r="J18" i="2" a="1"/>
  <c r="J18" i="2" s="1"/>
  <c r="L18" i="2" s="1"/>
  <c r="N18" i="2" s="1"/>
  <c r="I18" i="2"/>
  <c r="J17" i="2" a="1"/>
  <c r="J17" i="2" s="1"/>
  <c r="L17" i="2" s="1"/>
  <c r="N17" i="2" s="1"/>
  <c r="I17" i="2"/>
  <c r="J16" i="2" a="1"/>
  <c r="J16" i="2" s="1"/>
  <c r="L16" i="2" s="1"/>
  <c r="N16" i="2" s="1"/>
  <c r="I16" i="2"/>
  <c r="J15" i="2" a="1"/>
  <c r="J15" i="2" s="1"/>
  <c r="L15" i="2" s="1"/>
  <c r="N15" i="2" s="1"/>
  <c r="I15" i="2"/>
  <c r="J14" i="2" a="1"/>
  <c r="J14" i="2" s="1"/>
  <c r="L14" i="2" s="1"/>
  <c r="N14" i="2" s="1"/>
  <c r="I14" i="2"/>
  <c r="J13" i="2" a="1"/>
  <c r="J13" i="2" s="1"/>
  <c r="L13" i="2" s="1"/>
  <c r="N13" i="2" s="1"/>
  <c r="I13" i="2"/>
  <c r="J12" i="2" a="1"/>
  <c r="J12" i="2"/>
  <c r="L12" i="2" s="1"/>
  <c r="N12" i="2" s="1"/>
  <c r="I12" i="2"/>
  <c r="J11" i="2" a="1"/>
  <c r="J11" i="2"/>
  <c r="L11" i="2" s="1"/>
  <c r="N11" i="2" s="1"/>
  <c r="I11" i="2"/>
  <c r="J10" i="2" a="1"/>
  <c r="J10" i="2"/>
  <c r="L10" i="2" s="1"/>
  <c r="N10" i="2" s="1"/>
  <c r="I10" i="2"/>
  <c r="J9" i="2" a="1"/>
  <c r="J9" i="2" s="1"/>
  <c r="L9" i="2" s="1"/>
  <c r="N9" i="2" s="1"/>
  <c r="L18" i="1" s="1"/>
  <c r="I9" i="2"/>
  <c r="J8" i="2" a="1"/>
  <c r="J8" i="2" s="1"/>
  <c r="L8" i="2" s="1"/>
  <c r="N8" i="2" s="1"/>
  <c r="L17" i="1" s="1"/>
  <c r="I8" i="2"/>
  <c r="J7" i="2" a="1"/>
  <c r="J7" i="2" s="1"/>
  <c r="L7" i="2" s="1"/>
  <c r="N7" i="2" s="1"/>
  <c r="L16" i="1" s="1"/>
  <c r="I7" i="2"/>
  <c r="J6" i="2" a="1"/>
  <c r="J6" i="2" s="1"/>
  <c r="L6" i="2" s="1"/>
  <c r="N6" i="2" s="1"/>
  <c r="L15" i="1" s="1"/>
  <c r="I6" i="2"/>
  <c r="J5" i="2" a="1"/>
  <c r="J5" i="2" s="1"/>
  <c r="L5" i="2" s="1"/>
  <c r="N5" i="2" s="1"/>
  <c r="L14" i="1" s="1"/>
  <c r="I5" i="2"/>
  <c r="J4" i="2" a="1"/>
  <c r="J4" i="2" s="1"/>
  <c r="L4" i="2" s="1"/>
  <c r="N4" i="2" s="1"/>
  <c r="L13" i="1" s="1"/>
  <c r="I4" i="2"/>
  <c r="J3" i="2" a="1"/>
  <c r="J3" i="2"/>
  <c r="L3" i="2" s="1"/>
  <c r="N3" i="2" s="1"/>
  <c r="L12" i="1" s="1"/>
  <c r="I3" i="2"/>
  <c r="J2" i="2" a="1"/>
  <c r="J2" i="2"/>
  <c r="L2" i="2" s="1"/>
  <c r="N2" i="2" s="1"/>
  <c r="I2" i="2"/>
  <c r="J18" i="1"/>
  <c r="J17" i="1"/>
  <c r="J16" i="1"/>
  <c r="J15" i="1"/>
  <c r="J14" i="1"/>
  <c r="J13" i="1"/>
  <c r="J12" i="1"/>
  <c r="K2" i="1" a="1"/>
  <c r="K2" i="1" s="1"/>
  <c r="I2" i="1"/>
  <c r="X1" i="1" a="1"/>
  <c r="X1" i="1" s="1"/>
  <c r="O5" i="1" s="1"/>
</calcChain>
</file>

<file path=xl/sharedStrings.xml><?xml version="1.0" encoding="utf-8"?>
<sst xmlns="http://schemas.openxmlformats.org/spreadsheetml/2006/main" count="53" uniqueCount="29">
  <si>
    <t>Skrót</t>
  </si>
  <si>
    <t>Data</t>
  </si>
  <si>
    <t>Kurs</t>
  </si>
  <si>
    <t>AKTUALNY KURS WYBRANEJ WALUTY</t>
  </si>
  <si>
    <t>Waluta</t>
  </si>
  <si>
    <t>jen japoński</t>
  </si>
  <si>
    <t>KURSY Z OSTATNICH 7 DNI</t>
  </si>
  <si>
    <t>Nazwa</t>
  </si>
  <si>
    <t>euro</t>
  </si>
  <si>
    <t>EUR</t>
  </si>
  <si>
    <t>frank szwajcarski</t>
  </si>
  <si>
    <t>CHF</t>
  </si>
  <si>
    <t>funt brytyjski</t>
  </si>
  <si>
    <t>GBP</t>
  </si>
  <si>
    <t>dolar amerykański</t>
  </si>
  <si>
    <t>USD</t>
  </si>
  <si>
    <t>JPY</t>
  </si>
  <si>
    <t>korona czeska</t>
  </si>
  <si>
    <t>CZK</t>
  </si>
  <si>
    <t>rubel rosyjski</t>
  </si>
  <si>
    <t>RUB</t>
  </si>
  <si>
    <t>korona norweska</t>
  </si>
  <si>
    <t>NOK</t>
  </si>
  <si>
    <t>korona szwedzka</t>
  </si>
  <si>
    <t>SEK</t>
  </si>
  <si>
    <t>korona duńska</t>
  </si>
  <si>
    <t>DKK</t>
  </si>
  <si>
    <t>forint węgierski</t>
  </si>
  <si>
    <t>HUF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</si>
</sst>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4" x14ac:knownFonts="1">
    <font>
      <sz val="11"/>
      <color theme="1"/>
      <name val="Calibri"/>
      <scheme val="minor"/>
    </font>
    <font>
      <sz val="11"/>
      <color theme="1"/>
      <name val="Calibri"/>
    </font>
    <font>
      <b/>
      <sz val="14"/>
      <color rgb="FFFF0000"/>
      <name val="Arial Black"/>
    </font>
    <font>
      <sz val="11"/>
      <color theme="0"/>
      <name val="Calibri"/>
    </font>
    <font>
      <b/>
      <sz val="26"/>
      <color theme="1"/>
      <name val="Calibri"/>
    </font>
    <font>
      <b/>
      <sz val="24"/>
      <color theme="1"/>
      <name val="Calibri"/>
    </font>
    <font>
      <sz val="11"/>
      <name val="Calibri"/>
    </font>
    <font>
      <b/>
      <sz val="36"/>
      <color rgb="FFFF0000"/>
      <name val="Arial Black"/>
    </font>
    <font>
      <b/>
      <sz val="36"/>
      <color theme="1"/>
      <name val="Calibri"/>
    </font>
    <font>
      <b/>
      <sz val="28"/>
      <color theme="0"/>
      <name val="Calibri"/>
    </font>
    <font>
      <b/>
      <sz val="28"/>
      <color rgb="FFFF0000"/>
      <name val="Arial Black"/>
    </font>
    <font>
      <sz val="11"/>
      <color theme="9"/>
      <name val="Calibri"/>
    </font>
    <font>
      <b/>
      <sz val="14"/>
      <color theme="1"/>
      <name val="Calibri"/>
    </font>
    <font>
      <sz val="11"/>
      <color theme="1"/>
      <name val="Calibri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9"/>
        <bgColor theme="9"/>
      </patternFill>
    </fill>
    <fill>
      <patternFill patternType="solid">
        <fgColor rgb="FFD9E2F3"/>
        <bgColor rgb="FFD9E2F3"/>
      </patternFill>
    </fill>
    <fill>
      <patternFill patternType="solid">
        <fgColor rgb="FFD6DCE4"/>
        <bgColor rgb="FFD6DCE4"/>
      </patternFill>
    </fill>
    <fill>
      <patternFill patternType="solid">
        <fgColor theme="7"/>
        <bgColor theme="7"/>
      </patternFill>
    </fill>
    <fill>
      <patternFill patternType="solid">
        <fgColor theme="0"/>
        <bgColor theme="0"/>
      </patternFill>
    </fill>
    <fill>
      <patternFill patternType="solid">
        <fgColor rgb="FFD0CECE"/>
        <bgColor rgb="FFD0CECE"/>
      </patternFill>
    </fill>
    <fill>
      <patternFill patternType="solid">
        <fgColor theme="8"/>
        <bgColor theme="8"/>
      </patternFill>
    </fill>
  </fills>
  <borders count="35">
    <border>
      <left/>
      <right/>
      <top/>
      <bottom/>
      <diagonal/>
    </border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8EAADB"/>
      </right>
      <top style="thin">
        <color rgb="FF8EAADB"/>
      </top>
      <bottom style="thin">
        <color rgb="FF8EAADB"/>
      </bottom>
      <diagonal/>
    </border>
    <border>
      <left style="thin">
        <color rgb="FF8EAADB"/>
      </left>
      <right/>
      <top style="thin">
        <color rgb="FF8EAADB"/>
      </top>
      <bottom style="thin">
        <color rgb="FF8EAADB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8EAADB"/>
      </right>
      <top style="thin">
        <color rgb="FF8EAADB"/>
      </top>
      <bottom style="thin">
        <color rgb="FF8EAADB"/>
      </bottom>
      <diagonal/>
    </border>
    <border>
      <left style="thin">
        <color rgb="FF8EAADB"/>
      </left>
      <right/>
      <top style="thin">
        <color rgb="FF8EAADB"/>
      </top>
      <bottom style="thin">
        <color rgb="FF8EAADB"/>
      </bottom>
      <diagonal/>
    </border>
  </borders>
  <cellStyleXfs count="1">
    <xf numFmtId="0" fontId="0" fillId="0" borderId="0"/>
  </cellStyleXfs>
  <cellXfs count="52">
    <xf numFmtId="0" fontId="0" fillId="0" borderId="0" xfId="0" applyFont="1" applyAlignment="1"/>
    <xf numFmtId="0" fontId="1" fillId="2" borderId="1" xfId="0" applyFont="1" applyFill="1" applyBorder="1"/>
    <xf numFmtId="0" fontId="1" fillId="3" borderId="1" xfId="0" applyFont="1" applyFill="1" applyBorder="1"/>
    <xf numFmtId="0" fontId="2" fillId="2" borderId="2" xfId="0" applyFont="1" applyFill="1" applyBorder="1" applyAlignment="1">
      <alignment horizontal="center" vertical="center"/>
    </xf>
    <xf numFmtId="0" fontId="3" fillId="0" borderId="0" xfId="0" applyFont="1"/>
    <xf numFmtId="0" fontId="4" fillId="4" borderId="2" xfId="0" applyFont="1" applyFill="1" applyBorder="1" applyAlignment="1">
      <alignment horizontal="center" vertical="center"/>
    </xf>
    <xf numFmtId="14" fontId="4" fillId="5" borderId="2" xfId="0" applyNumberFormat="1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14" fontId="1" fillId="3" borderId="1" xfId="0" applyNumberFormat="1" applyFont="1" applyFill="1" applyBorder="1"/>
    <xf numFmtId="0" fontId="1" fillId="3" borderId="11" xfId="0" applyFont="1" applyFill="1" applyBorder="1"/>
    <xf numFmtId="0" fontId="11" fillId="3" borderId="1" xfId="0" applyFont="1" applyFill="1" applyBorder="1"/>
    <xf numFmtId="14" fontId="1" fillId="0" borderId="0" xfId="0" applyNumberFormat="1" applyFont="1"/>
    <xf numFmtId="0" fontId="13" fillId="0" borderId="0" xfId="0" applyFont="1"/>
    <xf numFmtId="0" fontId="1" fillId="4" borderId="30" xfId="0" applyFont="1" applyFill="1" applyBorder="1"/>
    <xf numFmtId="0" fontId="1" fillId="4" borderId="31" xfId="0" applyFont="1" applyFill="1" applyBorder="1"/>
    <xf numFmtId="14" fontId="1" fillId="0" borderId="32" xfId="0" applyNumberFormat="1" applyFont="1" applyBorder="1"/>
    <xf numFmtId="0" fontId="1" fillId="0" borderId="32" xfId="0" applyFont="1" applyBorder="1"/>
    <xf numFmtId="2" fontId="1" fillId="0" borderId="32" xfId="0" applyNumberFormat="1" applyFont="1" applyBorder="1"/>
    <xf numFmtId="0" fontId="1" fillId="0" borderId="33" xfId="0" applyFont="1" applyBorder="1"/>
    <xf numFmtId="0" fontId="1" fillId="0" borderId="34" xfId="0" applyFont="1" applyBorder="1"/>
    <xf numFmtId="0" fontId="1" fillId="0" borderId="0" xfId="0" applyFont="1" applyAlignment="1">
      <alignment horizontal="center" vertical="center"/>
    </xf>
    <xf numFmtId="2" fontId="1" fillId="0" borderId="0" xfId="0" applyNumberFormat="1" applyFont="1"/>
    <xf numFmtId="0" fontId="5" fillId="6" borderId="3" xfId="0" applyFont="1" applyFill="1" applyBorder="1" applyAlignment="1">
      <alignment horizontal="center" vertical="center" wrapText="1"/>
    </xf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0" fillId="0" borderId="0" xfId="0" applyFont="1" applyAlignment="1"/>
    <xf numFmtId="0" fontId="6" fillId="0" borderId="7" xfId="0" applyFont="1" applyBorder="1"/>
    <xf numFmtId="0" fontId="6" fillId="0" borderId="12" xfId="0" applyFont="1" applyBorder="1"/>
    <xf numFmtId="0" fontId="6" fillId="0" borderId="13" xfId="0" applyFont="1" applyBorder="1"/>
    <xf numFmtId="0" fontId="6" fillId="0" borderId="14" xfId="0" applyFont="1" applyBorder="1"/>
    <xf numFmtId="0" fontId="7" fillId="5" borderId="8" xfId="0" applyFont="1" applyFill="1" applyBorder="1" applyAlignment="1">
      <alignment horizontal="center" vertical="center"/>
    </xf>
    <xf numFmtId="0" fontId="6" fillId="0" borderId="9" xfId="0" applyFont="1" applyBorder="1"/>
    <xf numFmtId="0" fontId="6" fillId="0" borderId="10" xfId="0" applyFont="1" applyBorder="1"/>
    <xf numFmtId="0" fontId="8" fillId="7" borderId="8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14" fontId="12" fillId="2" borderId="15" xfId="0" applyNumberFormat="1" applyFont="1" applyFill="1" applyBorder="1" applyAlignment="1">
      <alignment horizontal="center" vertical="center"/>
    </xf>
    <xf numFmtId="0" fontId="6" fillId="0" borderId="16" xfId="0" applyFont="1" applyBorder="1"/>
    <xf numFmtId="2" fontId="12" fillId="9" borderId="17" xfId="0" applyNumberFormat="1" applyFont="1" applyFill="1" applyBorder="1" applyAlignment="1">
      <alignment horizontal="center" vertical="center"/>
    </xf>
    <xf numFmtId="0" fontId="6" fillId="0" borderId="18" xfId="0" applyFont="1" applyBorder="1"/>
    <xf numFmtId="0" fontId="6" fillId="0" borderId="19" xfId="0" applyFont="1" applyBorder="1"/>
    <xf numFmtId="14" fontId="12" fillId="2" borderId="20" xfId="0" applyNumberFormat="1" applyFont="1" applyFill="1" applyBorder="1" applyAlignment="1">
      <alignment horizontal="center" vertical="center"/>
    </xf>
    <xf numFmtId="0" fontId="6" fillId="0" borderId="21" xfId="0" applyFont="1" applyBorder="1"/>
    <xf numFmtId="14" fontId="12" fillId="2" borderId="25" xfId="0" applyNumberFormat="1" applyFont="1" applyFill="1" applyBorder="1" applyAlignment="1">
      <alignment horizontal="center" vertical="center"/>
    </xf>
    <xf numFmtId="0" fontId="6" fillId="0" borderId="26" xfId="0" applyFont="1" applyBorder="1"/>
    <xf numFmtId="2" fontId="12" fillId="9" borderId="22" xfId="0" applyNumberFormat="1" applyFont="1" applyFill="1" applyBorder="1" applyAlignment="1">
      <alignment horizontal="center" vertical="center"/>
    </xf>
    <xf numFmtId="0" fontId="6" fillId="0" borderId="23" xfId="0" applyFont="1" applyBorder="1"/>
    <xf numFmtId="0" fontId="6" fillId="0" borderId="24" xfId="0" applyFont="1" applyBorder="1"/>
    <xf numFmtId="2" fontId="12" fillId="9" borderId="27" xfId="0" applyNumberFormat="1" applyFont="1" applyFill="1" applyBorder="1" applyAlignment="1">
      <alignment horizontal="center" vertical="center"/>
    </xf>
    <xf numFmtId="0" fontId="6" fillId="0" borderId="28" xfId="0" applyFont="1" applyBorder="1"/>
    <xf numFmtId="0" fontId="6" fillId="0" borderId="29" xfId="0" applyFont="1" applyBorder="1"/>
  </cellXfs>
  <cellStyles count="1">
    <cellStyle name="Normalny" xfId="0" builtinId="0"/>
  </cellStyles>
  <dxfs count="5">
    <dxf>
      <font>
        <color rgb="FF385623"/>
      </font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</dxfs>
  <tableStyles count="1">
    <tableStyle name="Dane-style" pivot="0" count="3" xr9:uid="{00000000-0011-0000-FFFF-FFFF00000000}">
      <tableStyleElement type="headerRow" dxfId="4"/>
      <tableStyleElement type="firstRowStripe" dxfId="3"/>
      <tableStyleElement type="secondRowStripe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7" Type="http://customschemas.google.com/relationships/workbookmetadata" Target="meta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calcChain" Target="calcChain.xml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28575</xdr:colOff>
      <xdr:row>0</xdr:row>
      <xdr:rowOff>0</xdr:rowOff>
    </xdr:from>
    <xdr:ext cx="5772150" cy="5324475"/>
    <xdr:pic>
      <xdr:nvPicPr>
        <xdr:cNvPr id="2" name="image1.gif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2:B19">
  <tableColumns count="2">
    <tableColumn id="1" xr3:uid="{00000000-0010-0000-0000-000001000000}" name="Skrót"/>
    <tableColumn id="2" xr3:uid="{00000000-0010-0000-0000-000002000000}" name="Nazwa"/>
  </tableColumns>
  <tableStyleInfo name="Dane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X1000"/>
  <sheetViews>
    <sheetView tabSelected="1" workbookViewId="0">
      <selection activeCell="K2" sqref="K2"/>
    </sheetView>
  </sheetViews>
  <sheetFormatPr defaultColWidth="14.42578125" defaultRowHeight="15" customHeight="1" x14ac:dyDescent="0.25"/>
  <cols>
    <col min="1" max="3" width="10.140625" customWidth="1"/>
    <col min="4" max="4" width="15.7109375" customWidth="1"/>
    <col min="5" max="5" width="10.42578125" customWidth="1"/>
    <col min="6" max="6" width="10.5703125" customWidth="1"/>
    <col min="7" max="7" width="10.140625" customWidth="1"/>
    <col min="8" max="8" width="12" customWidth="1"/>
    <col min="9" max="9" width="12.140625" customWidth="1"/>
    <col min="10" max="11" width="25.42578125" customWidth="1"/>
    <col min="12" max="12" width="16.42578125" customWidth="1"/>
    <col min="13" max="13" width="21.5703125" customWidth="1"/>
    <col min="14" max="15" width="8.7109375" customWidth="1"/>
    <col min="16" max="16" width="14.42578125" customWidth="1"/>
    <col min="17" max="19" width="8.7109375" customWidth="1"/>
    <col min="20" max="20" width="14.42578125" customWidth="1"/>
    <col min="21" max="26" width="8.7109375" customWidth="1"/>
  </cols>
  <sheetData>
    <row r="1" spans="1:24" ht="22.5" x14ac:dyDescent="0.25">
      <c r="A1" s="1"/>
      <c r="B1" s="1"/>
      <c r="C1" s="1"/>
      <c r="D1" s="1"/>
      <c r="E1" s="1"/>
      <c r="F1" s="1"/>
      <c r="G1" s="1"/>
      <c r="H1" s="2"/>
      <c r="I1" s="3" t="s">
        <v>0</v>
      </c>
      <c r="J1" s="3" t="s">
        <v>1</v>
      </c>
      <c r="K1" s="3" t="s">
        <v>2</v>
      </c>
      <c r="L1" s="2"/>
      <c r="M1" s="2"/>
      <c r="N1" s="2"/>
      <c r="O1" s="2"/>
      <c r="P1" s="2"/>
      <c r="Q1" s="2"/>
      <c r="R1" s="2"/>
      <c r="X1" s="4" t="e">
        <f t="array" aca="1" ref="X1" ca="1">PobierzKurs(I2,TODAY())</f>
        <v>#NAME?</v>
      </c>
    </row>
    <row r="2" spans="1:24" ht="40.5" customHeight="1" x14ac:dyDescent="0.25">
      <c r="A2" s="1"/>
      <c r="B2" s="1"/>
      <c r="C2" s="1"/>
      <c r="D2" s="1"/>
      <c r="E2" s="1"/>
      <c r="F2" s="1"/>
      <c r="G2" s="1"/>
      <c r="H2" s="2"/>
      <c r="I2" s="5" t="str">
        <f>VLOOKUP(I5,Dane!$E$2:$F$12,2,FALSE)</f>
        <v>SEK</v>
      </c>
      <c r="J2" s="6">
        <v>44553</v>
      </c>
      <c r="K2" s="7" t="e">
        <f t="array" aca="1" ref="K2" ca="1">PobierzKurs(I2,J2)</f>
        <v>#NAME?</v>
      </c>
      <c r="L2" s="2"/>
      <c r="M2" s="2"/>
      <c r="N2" s="2"/>
      <c r="O2" s="22" t="s">
        <v>3</v>
      </c>
      <c r="P2" s="23"/>
      <c r="Q2" s="23"/>
      <c r="R2" s="24"/>
    </row>
    <row r="3" spans="1:24" ht="15" customHeight="1" x14ac:dyDescent="0.25">
      <c r="A3" s="1"/>
      <c r="B3" s="1"/>
      <c r="C3" s="1"/>
      <c r="D3" s="1"/>
      <c r="E3" s="1"/>
      <c r="F3" s="1"/>
      <c r="G3" s="1"/>
      <c r="H3" s="2"/>
      <c r="I3" s="8"/>
      <c r="J3" s="2"/>
      <c r="K3" s="2"/>
      <c r="L3" s="2"/>
      <c r="M3" s="2"/>
      <c r="N3" s="2"/>
      <c r="O3" s="25"/>
      <c r="P3" s="26"/>
      <c r="Q3" s="26"/>
      <c r="R3" s="27"/>
    </row>
    <row r="4" spans="1:24" ht="40.5" customHeight="1" x14ac:dyDescent="0.25">
      <c r="A4" s="1"/>
      <c r="B4" s="1"/>
      <c r="C4" s="1"/>
      <c r="D4" s="1"/>
      <c r="E4" s="1"/>
      <c r="F4" s="1"/>
      <c r="G4" s="1"/>
      <c r="H4" s="2"/>
      <c r="I4" s="31" t="s">
        <v>4</v>
      </c>
      <c r="J4" s="32"/>
      <c r="K4" s="32"/>
      <c r="L4" s="33"/>
      <c r="M4" s="9"/>
      <c r="N4" s="2"/>
      <c r="O4" s="28"/>
      <c r="P4" s="29"/>
      <c r="Q4" s="29"/>
      <c r="R4" s="30"/>
    </row>
    <row r="5" spans="1:24" ht="45.75" customHeight="1" x14ac:dyDescent="0.25">
      <c r="A5" s="1"/>
      <c r="B5" s="1"/>
      <c r="C5" s="1"/>
      <c r="D5" s="1"/>
      <c r="E5" s="1"/>
      <c r="F5" s="1"/>
      <c r="G5" s="1"/>
      <c r="H5" s="2"/>
      <c r="I5" s="34" t="s">
        <v>23</v>
      </c>
      <c r="J5" s="32"/>
      <c r="K5" s="32"/>
      <c r="L5" s="33"/>
      <c r="M5" s="9"/>
      <c r="N5" s="2"/>
      <c r="O5" s="35" t="e">
        <f ca="1">IF($X$1="Brak Danych",$L$12,$X$1)</f>
        <v>#NAME?</v>
      </c>
      <c r="P5" s="32"/>
      <c r="Q5" s="32"/>
      <c r="R5" s="33"/>
    </row>
    <row r="6" spans="1:24" ht="15" customHeight="1" x14ac:dyDescent="0.25">
      <c r="A6" s="1"/>
      <c r="B6" s="1"/>
      <c r="C6" s="1"/>
      <c r="D6" s="1"/>
      <c r="E6" s="1"/>
      <c r="F6" s="1"/>
      <c r="G6" s="1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24" ht="17.25" customHeight="1" x14ac:dyDescent="0.25">
      <c r="A7" s="1"/>
      <c r="B7" s="1"/>
      <c r="C7" s="1"/>
      <c r="D7" s="1"/>
      <c r="E7" s="1"/>
      <c r="F7" s="1"/>
      <c r="G7" s="1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1:24" ht="15" customHeight="1" x14ac:dyDescent="0.25">
      <c r="A8" s="1"/>
      <c r="B8" s="1"/>
      <c r="C8" s="1"/>
      <c r="D8" s="1"/>
      <c r="E8" s="1"/>
      <c r="F8" s="1"/>
      <c r="G8" s="1"/>
      <c r="H8" s="2"/>
      <c r="I8" s="2"/>
      <c r="J8" s="36" t="s">
        <v>6</v>
      </c>
      <c r="K8" s="23"/>
      <c r="L8" s="23"/>
      <c r="M8" s="23"/>
      <c r="N8" s="24"/>
      <c r="O8" s="2"/>
      <c r="P8" s="2"/>
      <c r="Q8" s="2"/>
      <c r="R8" s="2"/>
    </row>
    <row r="9" spans="1:24" ht="15" customHeight="1" x14ac:dyDescent="0.25">
      <c r="A9" s="1"/>
      <c r="B9" s="1"/>
      <c r="C9" s="1"/>
      <c r="D9" s="1"/>
      <c r="E9" s="1"/>
      <c r="F9" s="1"/>
      <c r="G9" s="1"/>
      <c r="H9" s="2"/>
      <c r="I9" s="2"/>
      <c r="J9" s="25"/>
      <c r="K9" s="26"/>
      <c r="L9" s="26"/>
      <c r="M9" s="26"/>
      <c r="N9" s="27"/>
      <c r="O9" s="2"/>
      <c r="P9" s="2"/>
      <c r="Q9" s="2"/>
      <c r="R9" s="2"/>
    </row>
    <row r="10" spans="1:24" ht="15" customHeight="1" x14ac:dyDescent="0.25">
      <c r="A10" s="10"/>
      <c r="B10" s="10"/>
      <c r="C10" s="10"/>
      <c r="D10" s="10"/>
      <c r="E10" s="10"/>
      <c r="F10" s="10"/>
      <c r="G10" s="10"/>
      <c r="H10" s="10"/>
      <c r="I10" s="2"/>
      <c r="J10" s="25"/>
      <c r="K10" s="26"/>
      <c r="L10" s="26"/>
      <c r="M10" s="26"/>
      <c r="N10" s="27"/>
      <c r="O10" s="2"/>
      <c r="P10" s="2"/>
      <c r="Q10" s="2"/>
      <c r="R10" s="2"/>
    </row>
    <row r="11" spans="1:24" ht="15" customHeight="1" x14ac:dyDescent="0.25">
      <c r="A11" s="10"/>
      <c r="B11" s="10"/>
      <c r="C11" s="10"/>
      <c r="D11" s="10"/>
      <c r="E11" s="10"/>
      <c r="F11" s="10"/>
      <c r="G11" s="10"/>
      <c r="H11" s="10"/>
      <c r="I11" s="2"/>
      <c r="J11" s="28"/>
      <c r="K11" s="29"/>
      <c r="L11" s="29"/>
      <c r="M11" s="29"/>
      <c r="N11" s="30"/>
      <c r="O11" s="2"/>
      <c r="P11" s="2"/>
      <c r="Q11" s="2"/>
      <c r="R11" s="2"/>
    </row>
    <row r="12" spans="1:24" ht="15" customHeight="1" x14ac:dyDescent="0.25">
      <c r="A12" s="10"/>
      <c r="B12" s="10"/>
      <c r="C12" s="10"/>
      <c r="D12" s="10"/>
      <c r="E12" s="10"/>
      <c r="F12" s="10"/>
      <c r="G12" s="10"/>
      <c r="H12" s="10"/>
      <c r="I12" s="10"/>
      <c r="J12" s="37">
        <f ca="1">TODAY()-1</f>
        <v>44824</v>
      </c>
      <c r="K12" s="38"/>
      <c r="L12" s="39" t="e">
        <f ca="1">Dane!N3</f>
        <v>#NAME?</v>
      </c>
      <c r="M12" s="40"/>
      <c r="N12" s="41"/>
      <c r="O12" s="2"/>
      <c r="P12" s="2"/>
      <c r="Q12" s="2"/>
      <c r="R12" s="2"/>
    </row>
    <row r="13" spans="1:24" ht="15" customHeight="1" x14ac:dyDescent="0.25">
      <c r="A13" s="10"/>
      <c r="B13" s="10"/>
      <c r="C13" s="10"/>
      <c r="D13" s="10"/>
      <c r="E13" s="10"/>
      <c r="F13" s="10"/>
      <c r="G13" s="10"/>
      <c r="H13" s="10"/>
      <c r="I13" s="10"/>
      <c r="J13" s="42">
        <f ca="1">TODAY()-2</f>
        <v>44823</v>
      </c>
      <c r="K13" s="43"/>
      <c r="L13" s="46" t="e">
        <f ca="1">Dane!N4</f>
        <v>#NAME?</v>
      </c>
      <c r="M13" s="47"/>
      <c r="N13" s="48"/>
      <c r="O13" s="2"/>
      <c r="P13" s="2"/>
      <c r="Q13" s="2"/>
      <c r="R13" s="2"/>
    </row>
    <row r="14" spans="1:24" ht="15" customHeight="1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42">
        <f ca="1">TODAY()-3</f>
        <v>44822</v>
      </c>
      <c r="K14" s="43"/>
      <c r="L14" s="46" t="e">
        <f ca="1">Dane!N5</f>
        <v>#NAME?</v>
      </c>
      <c r="M14" s="47"/>
      <c r="N14" s="48"/>
      <c r="O14" s="2"/>
      <c r="P14" s="2"/>
      <c r="Q14" s="2"/>
      <c r="R14" s="2"/>
    </row>
    <row r="15" spans="1:24" ht="15" customHeight="1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42">
        <f ca="1">TODAY()-4</f>
        <v>44821</v>
      </c>
      <c r="K15" s="43"/>
      <c r="L15" s="46" t="e">
        <f ca="1">Dane!N6</f>
        <v>#NAME?</v>
      </c>
      <c r="M15" s="47"/>
      <c r="N15" s="48"/>
      <c r="O15" s="2"/>
      <c r="P15" s="2"/>
      <c r="Q15" s="2"/>
      <c r="R15" s="2"/>
    </row>
    <row r="16" spans="1:24" ht="15" customHeight="1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42">
        <f ca="1">TODAY()-5</f>
        <v>44820</v>
      </c>
      <c r="K16" s="43"/>
      <c r="L16" s="46" t="e">
        <f ca="1">Dane!N7</f>
        <v>#NAME?</v>
      </c>
      <c r="M16" s="47"/>
      <c r="N16" s="48"/>
      <c r="O16" s="2"/>
      <c r="P16" s="2"/>
      <c r="Q16" s="2"/>
      <c r="R16" s="2"/>
    </row>
    <row r="17" spans="1:18" ht="15.75" customHeight="1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42">
        <f ca="1">TODAY()-6</f>
        <v>44819</v>
      </c>
      <c r="K17" s="43"/>
      <c r="L17" s="46" t="e">
        <f ca="1">Dane!N8</f>
        <v>#NAME?</v>
      </c>
      <c r="M17" s="47"/>
      <c r="N17" s="48"/>
      <c r="O17" s="2"/>
      <c r="P17" s="2"/>
      <c r="Q17" s="2"/>
      <c r="R17" s="2"/>
    </row>
    <row r="18" spans="1:18" ht="18.75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44">
        <f ca="1">TODAY()-7</f>
        <v>44818</v>
      </c>
      <c r="K18" s="45"/>
      <c r="L18" s="49" t="e">
        <f ca="1">Dane!N9</f>
        <v>#NAME?</v>
      </c>
      <c r="M18" s="50"/>
      <c r="N18" s="51"/>
      <c r="O18" s="2"/>
      <c r="P18" s="2"/>
      <c r="Q18" s="2"/>
      <c r="R18" s="2"/>
    </row>
    <row r="19" spans="1:18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2"/>
      <c r="O19" s="2"/>
      <c r="P19" s="2"/>
      <c r="Q19" s="2"/>
      <c r="R19" s="2"/>
    </row>
    <row r="20" spans="1:18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2"/>
      <c r="O20" s="2"/>
      <c r="P20" s="2"/>
      <c r="Q20" s="2"/>
      <c r="R20" s="2"/>
    </row>
    <row r="21" spans="1:18" ht="15.75" customHeight="1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2"/>
      <c r="O21" s="2"/>
      <c r="P21" s="2"/>
      <c r="Q21" s="2"/>
      <c r="R21" s="2"/>
    </row>
    <row r="22" spans="1:18" ht="15.75" customHeight="1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2"/>
      <c r="O22" s="2"/>
      <c r="P22" s="2"/>
      <c r="Q22" s="2"/>
      <c r="R22" s="2"/>
    </row>
    <row r="23" spans="1:18" ht="15.75" customHeight="1" x14ac:dyDescent="0.25"/>
    <row r="24" spans="1:18" ht="15.75" customHeight="1" x14ac:dyDescent="0.25"/>
    <row r="25" spans="1:18" ht="15.75" customHeight="1" x14ac:dyDescent="0.25"/>
    <row r="26" spans="1:18" ht="15.75" customHeight="1" x14ac:dyDescent="0.25"/>
    <row r="27" spans="1:18" ht="15.75" customHeight="1" x14ac:dyDescent="0.25"/>
    <row r="28" spans="1:18" ht="15.75" customHeight="1" x14ac:dyDescent="0.25"/>
    <row r="29" spans="1:18" ht="15.75" customHeight="1" x14ac:dyDescent="0.25"/>
    <row r="30" spans="1:18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spans="3:3" ht="15.75" customHeight="1" x14ac:dyDescent="0.25">
      <c r="C49" s="11"/>
    </row>
    <row r="50" spans="3:3" ht="15.75" customHeight="1" x14ac:dyDescent="0.25"/>
    <row r="51" spans="3:3" ht="15.75" customHeight="1" x14ac:dyDescent="0.25"/>
    <row r="52" spans="3:3" ht="15.75" customHeight="1" x14ac:dyDescent="0.25"/>
    <row r="53" spans="3:3" ht="15.75" customHeight="1" x14ac:dyDescent="0.25"/>
    <row r="54" spans="3:3" ht="15.75" customHeight="1" x14ac:dyDescent="0.25"/>
    <row r="55" spans="3:3" ht="15.75" customHeight="1" x14ac:dyDescent="0.25"/>
    <row r="56" spans="3:3" ht="15.75" customHeight="1" x14ac:dyDescent="0.25"/>
    <row r="57" spans="3:3" ht="15.75" customHeight="1" x14ac:dyDescent="0.25"/>
    <row r="58" spans="3:3" ht="15.75" customHeight="1" x14ac:dyDescent="0.25"/>
    <row r="59" spans="3:3" ht="15.75" customHeight="1" x14ac:dyDescent="0.25"/>
    <row r="60" spans="3:3" ht="15.75" customHeight="1" x14ac:dyDescent="0.25"/>
    <row r="61" spans="3:3" ht="15.75" customHeight="1" x14ac:dyDescent="0.25"/>
    <row r="62" spans="3:3" ht="15.75" customHeight="1" x14ac:dyDescent="0.25"/>
    <row r="63" spans="3:3" ht="15.75" customHeight="1" x14ac:dyDescent="0.25"/>
    <row r="64" spans="3:3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19">
    <mergeCell ref="J12:K12"/>
    <mergeCell ref="L12:N12"/>
    <mergeCell ref="J16:K16"/>
    <mergeCell ref="J17:K17"/>
    <mergeCell ref="J18:K18"/>
    <mergeCell ref="L17:N17"/>
    <mergeCell ref="L18:N18"/>
    <mergeCell ref="J13:K13"/>
    <mergeCell ref="L13:N13"/>
    <mergeCell ref="J14:K14"/>
    <mergeCell ref="L14:N14"/>
    <mergeCell ref="J15:K15"/>
    <mergeCell ref="L15:N15"/>
    <mergeCell ref="L16:N16"/>
    <mergeCell ref="O2:R4"/>
    <mergeCell ref="I4:L4"/>
    <mergeCell ref="I5:L5"/>
    <mergeCell ref="O5:R5"/>
    <mergeCell ref="J8:N11"/>
  </mergeCells>
  <conditionalFormatting sqref="O5">
    <cfRule type="expression" dxfId="1" priority="1">
      <formula>$O$5&lt;$K$2</formula>
    </cfRule>
  </conditionalFormatting>
  <conditionalFormatting sqref="O5">
    <cfRule type="expression" dxfId="0" priority="2">
      <formula>$O$5&gt;$K$2</formula>
    </cfRule>
  </conditionalFormatting>
  <dataValidations count="1">
    <dataValidation type="date" operator="greaterThan" allowBlank="1" showInputMessage="1" prompt="Data - Proszę wpisać żądaną datę w formacie dd.mm.rrrr" sqref="J2" xr:uid="{00000000-0002-0000-0000-000000000000}">
      <formula1>36526</formula1>
    </dataValidation>
  </dataValidations>
  <pageMargins left="0.7" right="0.7" top="0.75" bottom="0.75" header="0" footer="0"/>
  <pageSetup orientation="landscape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Waluta - Proszę wybrać walutę." xr:uid="{00000000-0002-0000-0000-000001000000}">
          <x14:formula1>
            <xm:f>Dane!$B$3:$B$13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2"/>
  <dimension ref="A2:N1000"/>
  <sheetViews>
    <sheetView workbookViewId="0"/>
  </sheetViews>
  <sheetFormatPr defaultColWidth="14.42578125" defaultRowHeight="15" customHeight="1" x14ac:dyDescent="0.25"/>
  <cols>
    <col min="1" max="1" width="12" customWidth="1"/>
    <col min="2" max="2" width="17.7109375" customWidth="1"/>
    <col min="3" max="4" width="8.7109375" customWidth="1"/>
    <col min="5" max="5" width="18" customWidth="1"/>
    <col min="6" max="8" width="8.7109375" customWidth="1"/>
    <col min="9" max="9" width="10.140625" customWidth="1"/>
    <col min="10" max="10" width="12.28515625" customWidth="1"/>
    <col min="11" max="11" width="8.7109375" customWidth="1"/>
    <col min="12" max="12" width="12" customWidth="1"/>
    <col min="13" max="13" width="8.7109375" customWidth="1"/>
    <col min="14" max="14" width="11.5703125" customWidth="1"/>
    <col min="15" max="26" width="8.7109375" customWidth="1"/>
  </cols>
  <sheetData>
    <row r="2" spans="1:14" x14ac:dyDescent="0.25">
      <c r="A2" s="12" t="s">
        <v>0</v>
      </c>
      <c r="B2" s="12" t="s">
        <v>7</v>
      </c>
      <c r="E2" s="13" t="s">
        <v>8</v>
      </c>
      <c r="F2" s="14" t="s">
        <v>9</v>
      </c>
      <c r="I2" s="15">
        <f ca="1">TODAY()-1</f>
        <v>44824</v>
      </c>
      <c r="J2" s="16" t="e">
        <f t="array" aca="1" ref="J2" ca="1">PobierzKurs(Kalkulator!$I$2,Dane!I2)</f>
        <v>#NAME?</v>
      </c>
      <c r="L2" s="16" t="e">
        <f t="shared" ref="L2:L7" ca="1" si="0">IF(J2="Brak danych",J3,J2)</f>
        <v>#NAME?</v>
      </c>
      <c r="N2" s="17" t="e">
        <f t="shared" ref="N2:N31" ca="1" si="1">IF(L2="Brak danych",L3,L2)</f>
        <v>#NAME?</v>
      </c>
    </row>
    <row r="3" spans="1:14" x14ac:dyDescent="0.25">
      <c r="A3" s="12" t="s">
        <v>9</v>
      </c>
      <c r="B3" s="12" t="s">
        <v>8</v>
      </c>
      <c r="E3" s="18" t="s">
        <v>10</v>
      </c>
      <c r="F3" s="19" t="s">
        <v>11</v>
      </c>
      <c r="I3" s="15">
        <f ca="1">TODAY()-2</f>
        <v>44823</v>
      </c>
      <c r="J3" s="16" t="e">
        <f t="array" aca="1" ref="J3" ca="1">PobierzKurs(Kalkulator!$I$2,Dane!I3)</f>
        <v>#NAME?</v>
      </c>
      <c r="L3" s="16" t="e">
        <f t="shared" ca="1" si="0"/>
        <v>#NAME?</v>
      </c>
      <c r="N3" s="17" t="e">
        <f t="shared" ca="1" si="1"/>
        <v>#NAME?</v>
      </c>
    </row>
    <row r="4" spans="1:14" x14ac:dyDescent="0.25">
      <c r="A4" s="12" t="s">
        <v>11</v>
      </c>
      <c r="B4" s="12" t="s">
        <v>10</v>
      </c>
      <c r="E4" s="13" t="s">
        <v>12</v>
      </c>
      <c r="F4" s="14" t="s">
        <v>13</v>
      </c>
      <c r="I4" s="15">
        <f ca="1">TODAY()-3</f>
        <v>44822</v>
      </c>
      <c r="J4" s="16" t="e">
        <f t="array" aca="1" ref="J4" ca="1">PobierzKurs(Kalkulator!$I$2,Dane!I4)</f>
        <v>#NAME?</v>
      </c>
      <c r="L4" s="16" t="e">
        <f t="shared" ca="1" si="0"/>
        <v>#NAME?</v>
      </c>
      <c r="N4" s="17" t="e">
        <f t="shared" ca="1" si="1"/>
        <v>#NAME?</v>
      </c>
    </row>
    <row r="5" spans="1:14" x14ac:dyDescent="0.25">
      <c r="A5" s="12" t="s">
        <v>13</v>
      </c>
      <c r="B5" s="12" t="s">
        <v>12</v>
      </c>
      <c r="E5" s="18" t="s">
        <v>14</v>
      </c>
      <c r="F5" s="19" t="s">
        <v>15</v>
      </c>
      <c r="I5" s="15">
        <f ca="1">TODAY()-4</f>
        <v>44821</v>
      </c>
      <c r="J5" s="16" t="e">
        <f t="array" aca="1" ref="J5" ca="1">PobierzKurs(Kalkulator!$I$2,Dane!I5)</f>
        <v>#NAME?</v>
      </c>
      <c r="L5" s="16" t="e">
        <f t="shared" ca="1" si="0"/>
        <v>#NAME?</v>
      </c>
      <c r="N5" s="17" t="e">
        <f t="shared" ca="1" si="1"/>
        <v>#NAME?</v>
      </c>
    </row>
    <row r="6" spans="1:14" x14ac:dyDescent="0.25">
      <c r="A6" s="12" t="s">
        <v>15</v>
      </c>
      <c r="B6" s="12" t="s">
        <v>14</v>
      </c>
      <c r="E6" s="13" t="s">
        <v>5</v>
      </c>
      <c r="F6" s="14" t="s">
        <v>16</v>
      </c>
      <c r="I6" s="15">
        <f ca="1">TODAY()-5</f>
        <v>44820</v>
      </c>
      <c r="J6" s="16" t="e">
        <f t="array" aca="1" ref="J6" ca="1">PobierzKurs(Kalkulator!$I$2,Dane!I6)</f>
        <v>#NAME?</v>
      </c>
      <c r="L6" s="16" t="e">
        <f t="shared" ca="1" si="0"/>
        <v>#NAME?</v>
      </c>
      <c r="N6" s="17" t="e">
        <f t="shared" ca="1" si="1"/>
        <v>#NAME?</v>
      </c>
    </row>
    <row r="7" spans="1:14" x14ac:dyDescent="0.25">
      <c r="A7" s="12" t="s">
        <v>16</v>
      </c>
      <c r="B7" s="12" t="s">
        <v>5</v>
      </c>
      <c r="E7" s="18" t="s">
        <v>17</v>
      </c>
      <c r="F7" s="19" t="s">
        <v>18</v>
      </c>
      <c r="I7" s="15">
        <f ca="1">TODAY()-6</f>
        <v>44819</v>
      </c>
      <c r="J7" s="16" t="e">
        <f t="array" aca="1" ref="J7" ca="1">PobierzKurs(Kalkulator!$I$2,Dane!I7)</f>
        <v>#NAME?</v>
      </c>
      <c r="L7" s="16" t="e">
        <f t="shared" ca="1" si="0"/>
        <v>#NAME?</v>
      </c>
      <c r="N7" s="17" t="e">
        <f t="shared" ca="1" si="1"/>
        <v>#NAME?</v>
      </c>
    </row>
    <row r="8" spans="1:14" x14ac:dyDescent="0.25">
      <c r="A8" s="12" t="s">
        <v>18</v>
      </c>
      <c r="B8" s="12" t="s">
        <v>17</v>
      </c>
      <c r="E8" s="13" t="s">
        <v>19</v>
      </c>
      <c r="F8" s="14" t="s">
        <v>20</v>
      </c>
      <c r="I8" s="15">
        <f ca="1">TODAY()-7</f>
        <v>44818</v>
      </c>
      <c r="J8" s="16" t="e">
        <f t="array" aca="1" ref="J8" ca="1">PobierzKurs(Kalkulator!$I$2,Dane!I8)</f>
        <v>#NAME?</v>
      </c>
      <c r="L8" s="16" t="e">
        <f ca="1">IF(J8="Brak danych",J10,J8)</f>
        <v>#NAME?</v>
      </c>
      <c r="N8" s="17" t="e">
        <f t="shared" ca="1" si="1"/>
        <v>#NAME?</v>
      </c>
    </row>
    <row r="9" spans="1:14" x14ac:dyDescent="0.25">
      <c r="A9" s="12" t="s">
        <v>20</v>
      </c>
      <c r="B9" s="12" t="s">
        <v>19</v>
      </c>
      <c r="E9" s="18" t="s">
        <v>21</v>
      </c>
      <c r="F9" s="19" t="s">
        <v>22</v>
      </c>
      <c r="I9" s="15">
        <f ca="1">TODAY()-8</f>
        <v>44817</v>
      </c>
      <c r="J9" s="16" t="e">
        <f t="array" aca="1" ref="J9" ca="1">PobierzKurs(Kalkulator!$I$2,Dane!I9)</f>
        <v>#NAME?</v>
      </c>
      <c r="L9" s="16" t="e">
        <f t="shared" ref="L9:L14" ca="1" si="2">IF(J9="Brak danych",J10,J9)</f>
        <v>#NAME?</v>
      </c>
      <c r="N9" s="17" t="e">
        <f t="shared" ca="1" si="1"/>
        <v>#NAME?</v>
      </c>
    </row>
    <row r="10" spans="1:14" x14ac:dyDescent="0.25">
      <c r="A10" s="12" t="s">
        <v>22</v>
      </c>
      <c r="B10" s="12" t="s">
        <v>21</v>
      </c>
      <c r="E10" s="13" t="s">
        <v>23</v>
      </c>
      <c r="F10" s="14" t="s">
        <v>24</v>
      </c>
      <c r="I10" s="15">
        <f ca="1">TODAY()-9</f>
        <v>44816</v>
      </c>
      <c r="J10" s="16" t="e">
        <f t="array" aca="1" ref="J10" ca="1">PobierzKurs(Kalkulator!$I$2,Dane!I10)</f>
        <v>#NAME?</v>
      </c>
      <c r="L10" s="16" t="e">
        <f t="shared" ca="1" si="2"/>
        <v>#NAME?</v>
      </c>
      <c r="N10" s="17" t="e">
        <f t="shared" ca="1" si="1"/>
        <v>#NAME?</v>
      </c>
    </row>
    <row r="11" spans="1:14" x14ac:dyDescent="0.25">
      <c r="A11" s="12" t="s">
        <v>24</v>
      </c>
      <c r="B11" s="12" t="s">
        <v>23</v>
      </c>
      <c r="E11" s="18" t="s">
        <v>25</v>
      </c>
      <c r="F11" s="19" t="s">
        <v>26</v>
      </c>
      <c r="I11" s="15">
        <f ca="1">TODAY()-10</f>
        <v>44815</v>
      </c>
      <c r="J11" s="16" t="e">
        <f t="array" aca="1" ref="J11" ca="1">PobierzKurs(Kalkulator!$I$2,Dane!I11)</f>
        <v>#NAME?</v>
      </c>
      <c r="L11" s="16" t="e">
        <f t="shared" ca="1" si="2"/>
        <v>#NAME?</v>
      </c>
      <c r="N11" s="17" t="e">
        <f t="shared" ca="1" si="1"/>
        <v>#NAME?</v>
      </c>
    </row>
    <row r="12" spans="1:14" x14ac:dyDescent="0.25">
      <c r="A12" s="12" t="s">
        <v>26</v>
      </c>
      <c r="B12" s="12" t="s">
        <v>25</v>
      </c>
      <c r="E12" s="13" t="s">
        <v>27</v>
      </c>
      <c r="F12" s="14" t="s">
        <v>28</v>
      </c>
      <c r="I12" s="15">
        <f ca="1">TODAY()-11</f>
        <v>44814</v>
      </c>
      <c r="J12" s="16" t="e">
        <f t="array" aca="1" ref="J12" ca="1">PobierzKurs(Kalkulator!$I$2,Dane!I12)</f>
        <v>#NAME?</v>
      </c>
      <c r="L12" s="16" t="e">
        <f t="shared" ca="1" si="2"/>
        <v>#NAME?</v>
      </c>
      <c r="N12" s="17" t="e">
        <f t="shared" ca="1" si="1"/>
        <v>#NAME?</v>
      </c>
    </row>
    <row r="13" spans="1:14" x14ac:dyDescent="0.25">
      <c r="A13" s="12" t="s">
        <v>28</v>
      </c>
      <c r="B13" s="12" t="s">
        <v>27</v>
      </c>
      <c r="I13" s="15">
        <f ca="1">TODAY()-12</f>
        <v>44813</v>
      </c>
      <c r="J13" s="16" t="e">
        <f t="array" aca="1" ref="J13" ca="1">PobierzKurs(Kalkulator!$I$2,Dane!I13)</f>
        <v>#NAME?</v>
      </c>
      <c r="L13" s="16" t="e">
        <f t="shared" ca="1" si="2"/>
        <v>#NAME?</v>
      </c>
      <c r="N13" s="17" t="e">
        <f t="shared" ca="1" si="1"/>
        <v>#NAME?</v>
      </c>
    </row>
    <row r="14" spans="1:14" x14ac:dyDescent="0.25">
      <c r="A14" s="12"/>
      <c r="B14" s="12"/>
      <c r="I14" s="15">
        <f ca="1">TODAY()-13</f>
        <v>44812</v>
      </c>
      <c r="J14" s="16" t="e">
        <f t="array" aca="1" ref="J14" ca="1">PobierzKurs(Kalkulator!$I$2,Dane!I14)</f>
        <v>#NAME?</v>
      </c>
      <c r="L14" s="16" t="e">
        <f t="shared" ca="1" si="2"/>
        <v>#NAME?</v>
      </c>
      <c r="N14" s="17" t="e">
        <f t="shared" ca="1" si="1"/>
        <v>#NAME?</v>
      </c>
    </row>
    <row r="15" spans="1:14" x14ac:dyDescent="0.25">
      <c r="A15" s="12"/>
      <c r="B15" s="12"/>
      <c r="F15" s="20"/>
      <c r="I15" s="15">
        <f ca="1">TODAY()-14</f>
        <v>44811</v>
      </c>
      <c r="J15" s="16" t="e">
        <f t="array" aca="1" ref="J15" ca="1">PobierzKurs(Kalkulator!$I$2,Dane!I15)</f>
        <v>#NAME?</v>
      </c>
      <c r="L15" s="16" t="e">
        <f ca="1">IF(J15="Brak danych",J17,J15)</f>
        <v>#NAME?</v>
      </c>
      <c r="N15" s="17" t="e">
        <f t="shared" ca="1" si="1"/>
        <v>#NAME?</v>
      </c>
    </row>
    <row r="16" spans="1:14" x14ac:dyDescent="0.25">
      <c r="A16" s="12"/>
      <c r="B16" s="12"/>
      <c r="I16" s="15">
        <f ca="1">TODAY()-15</f>
        <v>44810</v>
      </c>
      <c r="J16" s="16" t="e">
        <f t="array" aca="1" ref="J16" ca="1">PobierzKurs(Kalkulator!$I$2,Dane!I16)</f>
        <v>#NAME?</v>
      </c>
      <c r="L16" s="16" t="e">
        <f t="shared" ref="L16:L21" ca="1" si="3">IF(J16="Brak danych",J17,J16)</f>
        <v>#NAME?</v>
      </c>
      <c r="N16" s="17" t="e">
        <f t="shared" ca="1" si="1"/>
        <v>#NAME?</v>
      </c>
    </row>
    <row r="17" spans="1:14" x14ac:dyDescent="0.25">
      <c r="A17" s="12"/>
      <c r="B17" s="12"/>
      <c r="I17" s="15">
        <f ca="1">TODAY()-16</f>
        <v>44809</v>
      </c>
      <c r="J17" s="16" t="e">
        <f t="array" aca="1" ref="J17" ca="1">PobierzKurs(Kalkulator!$I$2,Dane!I17)</f>
        <v>#NAME?</v>
      </c>
      <c r="L17" s="16" t="e">
        <f t="shared" ca="1" si="3"/>
        <v>#NAME?</v>
      </c>
      <c r="N17" s="17" t="e">
        <f t="shared" ca="1" si="1"/>
        <v>#NAME?</v>
      </c>
    </row>
    <row r="18" spans="1:14" x14ac:dyDescent="0.25">
      <c r="A18" s="12"/>
      <c r="B18" s="12"/>
      <c r="I18" s="15">
        <f ca="1">TODAY()-17</f>
        <v>44808</v>
      </c>
      <c r="J18" s="16" t="e">
        <f t="array" aca="1" ref="J18" ca="1">PobierzKurs(Kalkulator!$I$2,Dane!I18)</f>
        <v>#NAME?</v>
      </c>
      <c r="L18" s="16" t="e">
        <f t="shared" ca="1" si="3"/>
        <v>#NAME?</v>
      </c>
      <c r="N18" s="17" t="e">
        <f t="shared" ca="1" si="1"/>
        <v>#NAME?</v>
      </c>
    </row>
    <row r="19" spans="1:14" x14ac:dyDescent="0.25">
      <c r="A19" s="12"/>
      <c r="B19" s="12"/>
      <c r="I19" s="15">
        <f ca="1">TODAY()-18</f>
        <v>44807</v>
      </c>
      <c r="J19" s="16" t="e">
        <f t="array" aca="1" ref="J19" ca="1">PobierzKurs(Kalkulator!$I$2,Dane!I19)</f>
        <v>#NAME?</v>
      </c>
      <c r="L19" s="16" t="e">
        <f t="shared" ca="1" si="3"/>
        <v>#NAME?</v>
      </c>
      <c r="N19" s="17" t="e">
        <f t="shared" ca="1" si="1"/>
        <v>#NAME?</v>
      </c>
    </row>
    <row r="20" spans="1:14" x14ac:dyDescent="0.25">
      <c r="I20" s="15">
        <f ca="1">TODAY()-19</f>
        <v>44806</v>
      </c>
      <c r="J20" s="16" t="e">
        <f t="array" aca="1" ref="J20" ca="1">PobierzKurs(Kalkulator!$I$2,Dane!I20)</f>
        <v>#NAME?</v>
      </c>
      <c r="L20" s="16" t="e">
        <f t="shared" ca="1" si="3"/>
        <v>#NAME?</v>
      </c>
      <c r="N20" s="17" t="e">
        <f t="shared" ca="1" si="1"/>
        <v>#NAME?</v>
      </c>
    </row>
    <row r="21" spans="1:14" ht="15.75" customHeight="1" x14ac:dyDescent="0.25">
      <c r="I21" s="15">
        <f ca="1">TODAY()-20</f>
        <v>44805</v>
      </c>
      <c r="J21" s="16" t="e">
        <f t="array" aca="1" ref="J21" ca="1">PobierzKurs(Kalkulator!$I$2,Dane!I21)</f>
        <v>#NAME?</v>
      </c>
      <c r="L21" s="16" t="e">
        <f t="shared" ca="1" si="3"/>
        <v>#NAME?</v>
      </c>
      <c r="N21" s="17" t="e">
        <f t="shared" ca="1" si="1"/>
        <v>#NAME?</v>
      </c>
    </row>
    <row r="22" spans="1:14" ht="15.75" customHeight="1" x14ac:dyDescent="0.25">
      <c r="I22" s="15">
        <f ca="1">TODAY()-21</f>
        <v>44804</v>
      </c>
      <c r="J22" s="16" t="e">
        <f t="array" aca="1" ref="J22" ca="1">PobierzKurs(Kalkulator!$I$2,Dane!I22)</f>
        <v>#NAME?</v>
      </c>
      <c r="L22" s="16" t="e">
        <f ca="1">IF(J22="Brak danych",J24,J22)</f>
        <v>#NAME?</v>
      </c>
      <c r="N22" s="17" t="e">
        <f t="shared" ca="1" si="1"/>
        <v>#NAME?</v>
      </c>
    </row>
    <row r="23" spans="1:14" ht="15.75" customHeight="1" x14ac:dyDescent="0.25">
      <c r="I23" s="15">
        <f ca="1">TODAY()-22</f>
        <v>44803</v>
      </c>
      <c r="J23" s="16" t="e">
        <f t="array" aca="1" ref="J23" ca="1">PobierzKurs(Kalkulator!$I$2,Dane!I23)</f>
        <v>#NAME?</v>
      </c>
      <c r="L23" s="16" t="e">
        <f t="shared" ref="L23:L28" ca="1" si="4">IF(J23="Brak danych",J24,J23)</f>
        <v>#NAME?</v>
      </c>
      <c r="N23" s="17" t="e">
        <f t="shared" ca="1" si="1"/>
        <v>#NAME?</v>
      </c>
    </row>
    <row r="24" spans="1:14" ht="15.75" customHeight="1" x14ac:dyDescent="0.25">
      <c r="I24" s="15">
        <f ca="1">TODAY()-23</f>
        <v>44802</v>
      </c>
      <c r="J24" s="16" t="e">
        <f t="array" aca="1" ref="J24" ca="1">PobierzKurs(Kalkulator!$I$2,Dane!I24)</f>
        <v>#NAME?</v>
      </c>
      <c r="L24" s="16" t="e">
        <f t="shared" ca="1" si="4"/>
        <v>#NAME?</v>
      </c>
      <c r="N24" s="17" t="e">
        <f t="shared" ca="1" si="1"/>
        <v>#NAME?</v>
      </c>
    </row>
    <row r="25" spans="1:14" ht="15.75" customHeight="1" x14ac:dyDescent="0.25">
      <c r="I25" s="15">
        <f ca="1">TODAY()-24</f>
        <v>44801</v>
      </c>
      <c r="J25" s="16" t="e">
        <f t="array" aca="1" ref="J25" ca="1">PobierzKurs(Kalkulator!$I$2,Dane!I25)</f>
        <v>#NAME?</v>
      </c>
      <c r="L25" s="16" t="e">
        <f t="shared" ca="1" si="4"/>
        <v>#NAME?</v>
      </c>
      <c r="N25" s="17" t="e">
        <f t="shared" ca="1" si="1"/>
        <v>#NAME?</v>
      </c>
    </row>
    <row r="26" spans="1:14" ht="15.75" customHeight="1" x14ac:dyDescent="0.25">
      <c r="I26" s="15">
        <f ca="1">TODAY()-25</f>
        <v>44800</v>
      </c>
      <c r="J26" s="16" t="e">
        <f t="array" aca="1" ref="J26" ca="1">PobierzKurs(Kalkulator!$I$2,Dane!I26)</f>
        <v>#NAME?</v>
      </c>
      <c r="L26" s="16" t="e">
        <f t="shared" ca="1" si="4"/>
        <v>#NAME?</v>
      </c>
      <c r="N26" s="17" t="e">
        <f t="shared" ca="1" si="1"/>
        <v>#NAME?</v>
      </c>
    </row>
    <row r="27" spans="1:14" ht="15.75" customHeight="1" x14ac:dyDescent="0.25">
      <c r="I27" s="15">
        <f ca="1">TODAY()-26</f>
        <v>44799</v>
      </c>
      <c r="J27" s="16" t="e">
        <f t="array" aca="1" ref="J27" ca="1">PobierzKurs(Kalkulator!$I$2,Dane!I27)</f>
        <v>#NAME?</v>
      </c>
      <c r="L27" s="16" t="e">
        <f t="shared" ca="1" si="4"/>
        <v>#NAME?</v>
      </c>
      <c r="N27" s="17" t="e">
        <f t="shared" ca="1" si="1"/>
        <v>#NAME?</v>
      </c>
    </row>
    <row r="28" spans="1:14" ht="15.75" customHeight="1" x14ac:dyDescent="0.25">
      <c r="I28" s="15">
        <f ca="1">TODAY()-27</f>
        <v>44798</v>
      </c>
      <c r="J28" s="16" t="e">
        <f t="array" aca="1" ref="J28" ca="1">PobierzKurs(Kalkulator!$I$2,Dane!I28)</f>
        <v>#NAME?</v>
      </c>
      <c r="L28" s="16" t="e">
        <f t="shared" ca="1" si="4"/>
        <v>#NAME?</v>
      </c>
      <c r="N28" s="17" t="e">
        <f t="shared" ca="1" si="1"/>
        <v>#NAME?</v>
      </c>
    </row>
    <row r="29" spans="1:14" ht="15.75" customHeight="1" x14ac:dyDescent="0.25">
      <c r="I29" s="15">
        <f ca="1">TODAY()-28</f>
        <v>44797</v>
      </c>
      <c r="J29" s="16" t="e">
        <f t="array" aca="1" ref="J29" ca="1">PobierzKurs(Kalkulator!$I$2,Dane!I29)</f>
        <v>#NAME?</v>
      </c>
      <c r="L29" s="16" t="e">
        <f ca="1">IF(J29="Brak danych",J31,J29)</f>
        <v>#NAME?</v>
      </c>
      <c r="N29" s="17" t="e">
        <f t="shared" ca="1" si="1"/>
        <v>#NAME?</v>
      </c>
    </row>
    <row r="30" spans="1:14" ht="15.75" customHeight="1" x14ac:dyDescent="0.25">
      <c r="I30" s="15">
        <f ca="1">TODAY()-29</f>
        <v>44796</v>
      </c>
      <c r="J30" s="16" t="e">
        <f t="array" aca="1" ref="J30" ca="1">PobierzKurs(Kalkulator!$I$2,Dane!I30)</f>
        <v>#NAME?</v>
      </c>
      <c r="L30" s="16" t="e">
        <f t="shared" ref="L30:L31" ca="1" si="5">IF(J30="Brak danych",J31,J30)</f>
        <v>#NAME?</v>
      </c>
      <c r="N30" s="17" t="e">
        <f t="shared" ca="1" si="1"/>
        <v>#NAME?</v>
      </c>
    </row>
    <row r="31" spans="1:14" ht="15.75" customHeight="1" x14ac:dyDescent="0.25">
      <c r="I31" s="15">
        <f ca="1">TODAY()-30</f>
        <v>44795</v>
      </c>
      <c r="J31" s="16" t="e">
        <f t="array" aca="1" ref="J31" ca="1">PobierzKurs(Kalkulator!$I$2,Dane!I31)</f>
        <v>#NAME?</v>
      </c>
      <c r="L31" s="16" t="e">
        <f t="shared" ca="1" si="5"/>
        <v>#NAME?</v>
      </c>
      <c r="N31" s="17" t="e">
        <f t="shared" ca="1" si="1"/>
        <v>#NAME?</v>
      </c>
    </row>
    <row r="32" spans="1:14" ht="15.75" customHeight="1" x14ac:dyDescent="0.25">
      <c r="I32" s="15">
        <f ca="1">TODAY()-31</f>
        <v>44794</v>
      </c>
      <c r="J32" s="16" t="e">
        <f t="array" aca="1" ref="J32" ca="1">PobierzKurs(Kalkulator!$I$2,Dane!I32)</f>
        <v>#NAME?</v>
      </c>
    </row>
    <row r="33" spans="14:14" ht="15.75" customHeight="1" x14ac:dyDescent="0.25"/>
    <row r="34" spans="14:14" ht="15.75" customHeight="1" x14ac:dyDescent="0.25">
      <c r="N34" s="21"/>
    </row>
    <row r="35" spans="14:14" ht="15.75" customHeight="1" x14ac:dyDescent="0.25"/>
    <row r="36" spans="14:14" ht="15.75" customHeight="1" x14ac:dyDescent="0.25"/>
    <row r="37" spans="14:14" ht="15.75" customHeight="1" x14ac:dyDescent="0.25"/>
    <row r="38" spans="14:14" ht="15.75" customHeight="1" x14ac:dyDescent="0.25"/>
    <row r="39" spans="14:14" ht="15.75" customHeight="1" x14ac:dyDescent="0.25"/>
    <row r="40" spans="14:14" ht="15.75" customHeight="1" x14ac:dyDescent="0.25"/>
    <row r="41" spans="14:14" ht="15.75" customHeight="1" x14ac:dyDescent="0.25"/>
    <row r="42" spans="14:14" ht="15.75" customHeight="1" x14ac:dyDescent="0.25"/>
    <row r="43" spans="14:14" ht="15.75" customHeight="1" x14ac:dyDescent="0.25"/>
    <row r="44" spans="14:14" ht="15.75" customHeight="1" x14ac:dyDescent="0.25"/>
    <row r="45" spans="14:14" ht="15.75" customHeight="1" x14ac:dyDescent="0.25"/>
    <row r="46" spans="14:14" ht="15.75" customHeight="1" x14ac:dyDescent="0.25"/>
    <row r="47" spans="14:14" ht="15.75" customHeight="1" x14ac:dyDescent="0.25"/>
    <row r="48" spans="14:14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Kalkulator</vt:lpstr>
      <vt:lpstr>Dane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Jakub Borys</dc:creator>
  <cp:lastModifiedBy>Qba</cp:lastModifiedBy>
  <dcterms:created xsi:type="dcterms:W3CDTF">2022-01-03T16:27:19Z</dcterms:created>
  <dcterms:modified xsi:type="dcterms:W3CDTF">2022-09-21T17:09:52Z</dcterms:modified>
</cp:coreProperties>
</file>